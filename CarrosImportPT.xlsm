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lva/Documents/GitHub/carrosImportPT/"/>
    </mc:Choice>
  </mc:AlternateContent>
  <xr:revisionPtr revIDLastSave="0" documentId="13_ncr:1_{13C54C58-73CC-564F-8E4C-BAD3D6E004FC}" xr6:coauthVersionLast="36" xr6:coauthVersionMax="47" xr10:uidLastSave="{00000000-0000-0000-0000-000000000000}"/>
  <bookViews>
    <workbookView xWindow="960" yWindow="2620" windowWidth="19660" windowHeight="17280" xr2:uid="{5DB6B498-660F-4A3D-AF6B-0902CD12DE57}"/>
  </bookViews>
  <sheets>
    <sheet name="Sheet1" sheetId="1" r:id="rId1"/>
    <sheet name="Tabelas_ISV" sheetId="4" r:id="rId2"/>
    <sheet name="Tabelas_IUC" sheetId="3" r:id="rId3"/>
    <sheet name="opcoes_dropdown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8" i="4" l="1"/>
  <c r="J59" i="4" s="1"/>
  <c r="E51" i="4"/>
  <c r="E52" i="4" s="1"/>
  <c r="Q60" i="4" l="1"/>
  <c r="Q61" i="4"/>
</calcChain>
</file>

<file path=xl/sharedStrings.xml><?xml version="1.0" encoding="utf-8"?>
<sst xmlns="http://schemas.openxmlformats.org/spreadsheetml/2006/main" count="158" uniqueCount="115">
  <si>
    <t>Ano:</t>
  </si>
  <si>
    <t>Veículos ligeiros de passageiros Componente cilindrada</t>
  </si>
  <si>
    <t>Veículos ligeiros de passageiros Componente ambiental (CO2)</t>
  </si>
  <si>
    <t>Gasóleo</t>
  </si>
  <si>
    <t>Percentagem de redução sobre a taxa cilindrada</t>
  </si>
  <si>
    <t>Percentagem de redução sobre a taxa CO2</t>
  </si>
  <si>
    <t>cilindrada:</t>
  </si>
  <si>
    <t>veiculo</t>
  </si>
  <si>
    <t>Skoda superb</t>
  </si>
  <si>
    <t>calculo intermedio ISV cm3 sem desconto:</t>
  </si>
  <si>
    <t>calculo final ISV cm3 com desconto</t>
  </si>
  <si>
    <t>g/km</t>
  </si>
  <si>
    <t>calculo intermedio ISV CO2 sem desconto:</t>
  </si>
  <si>
    <t>calculo final ISV CO2 com desconto</t>
  </si>
  <si>
    <t>Total</t>
  </si>
  <si>
    <t>Cilindrada 1 
(cm3)</t>
  </si>
  <si>
    <t>Gasolina</t>
  </si>
  <si>
    <t>NEDC</t>
  </si>
  <si>
    <t>CO2 2
(g/km)</t>
  </si>
  <si>
    <t>CO2 1
(g/km)</t>
  </si>
  <si>
    <t>Taxa por cm3
(€)</t>
  </si>
  <si>
    <t>Parcela a abater (subtrair ao resultado da multiplicação)
(€)</t>
  </si>
  <si>
    <t>Taxa por g/km
(€)</t>
  </si>
  <si>
    <t>WLTP</t>
  </si>
  <si>
    <t>Cilindrada 2
(cm3)</t>
  </si>
  <si>
    <t>Idade 1 matrícula país origem (anos)</t>
  </si>
  <si>
    <t>Idade 2 matrícula país origem (anos)</t>
  </si>
  <si>
    <t>Componente de Desconto</t>
  </si>
  <si>
    <t>Componente Crua</t>
  </si>
  <si>
    <t>0,001</t>
  </si>
  <si>
    <t>Taxa
(€)</t>
  </si>
  <si>
    <t>Emissão de partículas 2
(g/km)</t>
  </si>
  <si>
    <t>Emissão de partículas 1
(g/km)</t>
  </si>
  <si>
    <t>Componente Adicional</t>
  </si>
  <si>
    <t>De forma geral, podendo haver excepções:</t>
  </si>
  <si>
    <t>automóveis novos vendidos até 2017 são NEDC</t>
  </si>
  <si>
    <t>automóveis novos vendidos em 2018 e 2019 podem ser NEDC ou WLTP</t>
  </si>
  <si>
    <t>automóveis novos vendidos em 2018 são maioritariamente NEDC</t>
  </si>
  <si>
    <t>automóveis novos vendidos em 2019 são maioritariamente WLTP</t>
  </si>
  <si>
    <t>qualquer automóvel novo vendido a partir de 2020 é WLTP</t>
  </si>
  <si>
    <t>23/03/2022</t>
  </si>
  <si>
    <t>calculo IUC</t>
  </si>
  <si>
    <t>Ano</t>
  </si>
  <si>
    <t>Primeira matrícula PT/UE/EEE de 1981 a Junho de 2007</t>
  </si>
  <si>
    <t>Cilindrada (cm3)</t>
  </si>
  <si>
    <t>Matrícula de 1996 a Junho 2007</t>
  </si>
  <si>
    <t>Matrícula de 1990 a 1995</t>
  </si>
  <si>
    <t>Matrícula de 1981 a 1989</t>
  </si>
  <si>
    <t>19,90€</t>
  </si>
  <si>
    <t>Isento 8,80€</t>
  </si>
  <si>
    <t>39,95€</t>
  </si>
  <si>
    <t>22,45€</t>
  </si>
  <si>
    <t>12,55€</t>
  </si>
  <si>
    <r>
      <t>22,48€</t>
    </r>
    <r>
      <rPr>
        <sz val="6"/>
        <color rgb="FFAAAAAA"/>
        <rFont val="Verdana"/>
        <family val="2"/>
      </rPr>
      <t>(19,90€ + 3,14€)</t>
    </r>
  </si>
  <si>
    <r>
      <t>14,18€</t>
    </r>
    <r>
      <rPr>
        <sz val="6"/>
        <color rgb="FFAAAAAA"/>
        <rFont val="Verdana"/>
        <family val="2"/>
      </rPr>
      <t>(12,55€ + 1,98€)</t>
    </r>
  </si>
  <si>
    <r>
      <t>10,19€</t>
    </r>
    <r>
      <rPr>
        <sz val="6"/>
        <color rgb="FFAAAAAA"/>
        <rFont val="Verdana"/>
        <family val="2"/>
      </rPr>
      <t>(8,80€ + 1,39€)</t>
    </r>
  </si>
  <si>
    <r>
      <t>45,13€</t>
    </r>
    <r>
      <rPr>
        <sz val="6"/>
        <color rgb="FFAAAAAA"/>
        <rFont val="Verdana"/>
        <family val="2"/>
      </rPr>
      <t>(39,95€ + 6,31€)</t>
    </r>
  </si>
  <si>
    <r>
      <t>25,37€</t>
    </r>
    <r>
      <rPr>
        <sz val="6"/>
        <color rgb="FFAAAAAA"/>
        <rFont val="Verdana"/>
        <family val="2"/>
      </rPr>
      <t>(22,45€ + 3,55€)</t>
    </r>
  </si>
  <si>
    <r>
      <t>70,50€</t>
    </r>
    <r>
      <rPr>
        <sz val="6"/>
        <color rgb="FFAAAAAA"/>
        <rFont val="Verdana"/>
        <family val="2"/>
      </rPr>
      <t>(62,40€ + 9,86€)</t>
    </r>
  </si>
  <si>
    <r>
      <t>39,40€</t>
    </r>
    <r>
      <rPr>
        <sz val="6"/>
        <color rgb="FFAAAAAA"/>
        <rFont val="Verdana"/>
        <family val="2"/>
      </rPr>
      <t>(34,87€ + 5,51€)</t>
    </r>
  </si>
  <si>
    <r>
      <t>19,76€</t>
    </r>
    <r>
      <rPr>
        <sz val="6"/>
        <color rgb="FFAAAAAA"/>
        <rFont val="Verdana"/>
        <family val="2"/>
      </rPr>
      <t>(17,49€ + 2,76€)</t>
    </r>
  </si>
  <si>
    <r>
      <t>178,86€</t>
    </r>
    <r>
      <rPr>
        <sz val="6"/>
        <color rgb="FFAAAAAA"/>
        <rFont val="Verdana"/>
        <family val="2"/>
      </rPr>
      <t>(158,31€ + 25,01€)</t>
    </r>
  </si>
  <si>
    <r>
      <t>94,33€</t>
    </r>
    <r>
      <rPr>
        <sz val="6"/>
        <color rgb="FFAAAAAA"/>
        <rFont val="Verdana"/>
        <family val="2"/>
      </rPr>
      <t>(83,49€ + 13,19€)</t>
    </r>
  </si>
  <si>
    <r>
      <t>40,77€</t>
    </r>
    <r>
      <rPr>
        <sz val="6"/>
        <color rgb="FFAAAAAA"/>
        <rFont val="Verdana"/>
        <family val="2"/>
      </rPr>
      <t>(36,09€ + 5,70€)</t>
    </r>
  </si>
  <si>
    <t>Taxa</t>
  </si>
  <si>
    <t>Até 1.250</t>
  </si>
  <si>
    <t>31,77€</t>
  </si>
  <si>
    <t>1.251 a 1.750</t>
  </si>
  <si>
    <t>63,74€</t>
  </si>
  <si>
    <t>1.751 a 2.500</t>
  </si>
  <si>
    <t>127,35€</t>
  </si>
  <si>
    <t>Mais de 2.500</t>
  </si>
  <si>
    <t>435,84€</t>
  </si>
  <si>
    <t>Emissões CO2 (g/km) NEDC</t>
  </si>
  <si>
    <t>Emissões CO2 (g/km) WLTP</t>
  </si>
  <si>
    <t>Taxa adicional</t>
  </si>
  <si>
    <t>Até 120</t>
  </si>
  <si>
    <t>Até 140</t>
  </si>
  <si>
    <t>65,15€</t>
  </si>
  <si>
    <t>121 a 180</t>
  </si>
  <si>
    <t>141 a 205</t>
  </si>
  <si>
    <t>97,63€</t>
  </si>
  <si>
    <t>181 a 250</t>
  </si>
  <si>
    <t>206 a 260</t>
  </si>
  <si>
    <t>212,04€</t>
  </si>
  <si>
    <t>Mais de 250</t>
  </si>
  <si>
    <t>Mais de 260</t>
  </si>
  <si>
    <t>363,25€</t>
  </si>
  <si>
    <t>Ano da primeira matrícula PT/UE/EEE</t>
  </si>
  <si>
    <t>Coeficiente</t>
  </si>
  <si>
    <t>1,00</t>
  </si>
  <si>
    <t>1,05</t>
  </si>
  <si>
    <t>1,10</t>
  </si>
  <si>
    <t>2010 e seguintes</t>
  </si>
  <si>
    <t>1,15</t>
  </si>
  <si>
    <t>Taxa Adicional</t>
  </si>
  <si>
    <t>5,02€</t>
  </si>
  <si>
    <t>10,07€</t>
  </si>
  <si>
    <t>20,12€</t>
  </si>
  <si>
    <t>68,85€</t>
  </si>
  <si>
    <t>Eléctricos</t>
  </si>
  <si>
    <t>Voltagem total</t>
  </si>
  <si>
    <t>Até 100</t>
  </si>
  <si>
    <t>Mais de 100</t>
  </si>
  <si>
    <t>Tipo de Locomocao</t>
  </si>
  <si>
    <t>Homologacao</t>
  </si>
  <si>
    <t>cilindrada (cm3):</t>
  </si>
  <si>
    <t>Ano (DD/MM/AAAA):</t>
  </si>
  <si>
    <t>CO2 (mg/km):</t>
  </si>
  <si>
    <t>Skoda - Superb</t>
  </si>
  <si>
    <t>Marca - Modelo:</t>
  </si>
  <si>
    <r>
      <t xml:space="preserve">Tipo de Locomocao:
</t>
    </r>
    <r>
      <rPr>
        <sz val="8"/>
        <color theme="1"/>
        <rFont val="Calibri"/>
        <family val="2"/>
        <scheme val="minor"/>
      </rPr>
      <t>0-Gasolina
1-Electro
2-Diesel
3-Gas (GPL)</t>
    </r>
  </si>
  <si>
    <r>
      <t xml:space="preserve">Homologacao:
</t>
    </r>
    <r>
      <rPr>
        <sz val="8"/>
        <color theme="1"/>
        <rFont val="Calibri"/>
        <family val="2"/>
        <scheme val="minor"/>
      </rPr>
      <t>0-WLTP
1-NEDC</t>
    </r>
  </si>
  <si>
    <t>calculo intermedio ISV CO2 sem desconto</t>
  </si>
  <si>
    <t>calculo final ISV (cm3 + CO2)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</si>
</sst>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[$€-2]\ * #,##0.00_);_([$€-2]\ * \(#,##0.00\);_([$€-2]\ * &quot;-&quot;??_);_(@_)"/>
    <numFmt numFmtId="165" formatCode="_([$€-2]\ * #,##0_);_([$€-2]\ * \(#,##0\);_([$€-2]\ * &quot;-&quot;??_);_(@_)"/>
    <numFmt numFmtId="166" formatCode="#,##0.00\ [$€-1];[Red]\-#,##0.00\ [$€-1]"/>
    <numFmt numFmtId="167" formatCode="#,##0\ [$€-1];[Red]\-#,##0\ [$€-1]"/>
  </numFmts>
  <fonts count="14"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7"/>
      <name val="Verdana"/>
      <family val="2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3.2"/>
      <color rgb="FFFFFFFF"/>
      <name val="Verdana"/>
      <family val="2"/>
    </font>
    <font>
      <b/>
      <sz val="7"/>
      <color rgb="FFFFFFFF"/>
      <name val="Verdana"/>
      <family val="2"/>
    </font>
    <font>
      <b/>
      <sz val="10"/>
      <color rgb="FFFFFFFF"/>
      <name val="Verdana"/>
      <family val="2"/>
    </font>
    <font>
      <sz val="6"/>
      <color rgb="FFAAAAAA"/>
      <name val="Verdana"/>
      <family val="2"/>
    </font>
    <font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18C00"/>
        <bgColor indexed="64"/>
      </patternFill>
    </fill>
    <fill>
      <patternFill patternType="solid">
        <fgColor rgb="FF2672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AA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EEEEEE"/>
      </left>
      <right style="medium">
        <color rgb="FFEEEEEE"/>
      </right>
      <top style="medium">
        <color rgb="FFEEEEEE"/>
      </top>
      <bottom style="medium">
        <color rgb="FFEEEEEE"/>
      </bottom>
      <diagonal/>
    </border>
  </borders>
  <cellStyleXfs count="1">
    <xf numFmtId="0" fontId="0" fillId="0" borderId="0"/>
  </cellStyleXfs>
  <cellXfs count="60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5" borderId="7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/>
    <xf numFmtId="0" fontId="5" fillId="0" borderId="0" xfId="0" applyFont="1" applyBorder="1"/>
    <xf numFmtId="0" fontId="5" fillId="0" borderId="7" xfId="0" applyFont="1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 wrapText="1" indent="2"/>
    </xf>
    <xf numFmtId="0" fontId="0" fillId="0" borderId="0" xfId="0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0" fillId="7" borderId="0" xfId="0" applyFill="1" applyAlignment="1">
      <alignment horizontal="center" vertical="center"/>
    </xf>
    <xf numFmtId="164" fontId="0" fillId="2" borderId="0" xfId="0" applyNumberFormat="1" applyFill="1"/>
    <xf numFmtId="2" fontId="0" fillId="2" borderId="0" xfId="0" applyNumberFormat="1" applyFill="1"/>
    <xf numFmtId="0" fontId="10" fillId="9" borderId="0" xfId="0" applyFont="1" applyFill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1" borderId="1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166" fontId="1" fillId="10" borderId="12" xfId="0" applyNumberFormat="1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166" fontId="1" fillId="0" borderId="12" xfId="0" applyNumberFormat="1" applyFont="1" applyFill="1" applyBorder="1" applyAlignment="1">
      <alignment horizontal="center" vertical="center" wrapText="1"/>
    </xf>
    <xf numFmtId="167" fontId="1" fillId="10" borderId="1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7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7" fillId="3" borderId="7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9" fillId="3" borderId="0" xfId="0" applyFont="1" applyFill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9" fillId="8" borderId="0" xfId="0" applyFont="1" applyFill="1" applyAlignment="1">
      <alignment horizontal="center" vertical="center" wrapText="1"/>
    </xf>
    <xf numFmtId="0" fontId="11" fillId="8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2908300</xdr:colOff>
          <xdr:row>6</xdr:row>
          <xdr:rowOff>25400</xdr:rowOff>
        </xdr:from>
        <xdr:to>
          <xdr:col>2</xdr:col>
          <xdr:colOff>25400</xdr:colOff>
          <xdr:row>7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ISV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D13D-E889-42F6-AE5E-4195124FD962}">
  <sheetPr codeName="Sheet1"/>
  <dimension ref="A1:G17"/>
  <sheetViews>
    <sheetView tabSelected="1" zoomScale="120" zoomScaleNormal="120" workbookViewId="0">
      <selection activeCell="C6" sqref="C6"/>
    </sheetView>
  </sheetViews>
  <sheetFormatPr baseColWidth="10" defaultColWidth="8.83203125" defaultRowHeight="15"/>
  <cols>
    <col min="1" max="1" width="38.1640625" customWidth="1"/>
    <col min="2" max="2" width="18.6640625" customWidth="1"/>
    <col min="3" max="3" width="9.33203125" bestFit="1" customWidth="1"/>
    <col min="7" max="7" width="52.1640625" customWidth="1"/>
  </cols>
  <sheetData>
    <row r="1" spans="1:7">
      <c r="A1" t="s">
        <v>110</v>
      </c>
      <c r="B1" s="30" t="s">
        <v>109</v>
      </c>
    </row>
    <row r="2" spans="1:7">
      <c r="A2" t="s">
        <v>108</v>
      </c>
      <c r="B2" s="30">
        <v>100</v>
      </c>
      <c r="G2" s="26"/>
    </row>
    <row r="3" spans="1:7">
      <c r="A3" t="s">
        <v>106</v>
      </c>
      <c r="B3" s="30">
        <v>1499</v>
      </c>
      <c r="G3" s="27" t="s">
        <v>34</v>
      </c>
    </row>
    <row r="4" spans="1:7">
      <c r="A4" t="s">
        <v>107</v>
      </c>
      <c r="B4" s="30" t="s">
        <v>40</v>
      </c>
      <c r="C4" s="32">
        <v>1.9166666666666667</v>
      </c>
      <c r="G4" s="28"/>
    </row>
    <row r="5" spans="1:7" ht="65">
      <c r="A5" s="41" t="s">
        <v>111</v>
      </c>
      <c r="B5" s="30">
        <v>2</v>
      </c>
      <c r="G5" s="28"/>
    </row>
    <row r="6" spans="1:7" ht="41">
      <c r="A6" s="41" t="s">
        <v>112</v>
      </c>
      <c r="B6" s="30">
        <v>1</v>
      </c>
      <c r="G6" s="29" t="s">
        <v>35</v>
      </c>
    </row>
    <row r="7" spans="1:7">
      <c r="G7" s="29" t="s">
        <v>36</v>
      </c>
    </row>
    <row r="8" spans="1:7">
      <c r="G8" s="29" t="s">
        <v>37</v>
      </c>
    </row>
    <row r="9" spans="1:7">
      <c r="A9" t="s">
        <v>9</v>
      </c>
      <c r="B9" s="31">
        <v>2214.51025390625</v>
      </c>
      <c r="G9" s="29" t="s">
        <v>38</v>
      </c>
    </row>
    <row r="10" spans="1:7">
      <c r="A10" t="s">
        <v>10</v>
      </c>
      <c r="B10" s="31">
        <v>1771.608154296875</v>
      </c>
      <c r="G10" s="29" t="s">
        <v>39</v>
      </c>
    </row>
    <row r="11" spans="1:7">
      <c r="B11" s="31"/>
      <c r="G11" s="29"/>
    </row>
    <row r="12" spans="1:7">
      <c r="A12" t="s">
        <v>113</v>
      </c>
      <c r="B12" s="31"/>
      <c r="G12" s="26"/>
    </row>
    <row r="13" spans="1:7">
      <c r="A13" t="s">
        <v>13</v>
      </c>
      <c r="B13" s="31"/>
      <c r="G13" s="26"/>
    </row>
    <row r="15" spans="1:7">
      <c r="A15" t="s">
        <v>114</v>
      </c>
      <c r="B15" s="31"/>
    </row>
    <row r="17" spans="1:2">
      <c r="A17" t="s">
        <v>41</v>
      </c>
      <c r="B17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o_ISV">
                <anchor moveWithCells="1" sizeWithCells="1">
                  <from>
                    <xdr:col>0</xdr:col>
                    <xdr:colOff>2908300</xdr:colOff>
                    <xdr:row>6</xdr:row>
                    <xdr:rowOff>25400</xdr:rowOff>
                  </from>
                  <to>
                    <xdr:col>2</xdr:col>
                    <xdr:colOff>25400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8FD4A1-B2F2-490D-92DA-A67223570A65}">
          <x14:formula1>
            <xm:f>opcoes_dropdown!$B$2:$B$3</xm:f>
          </x14:formula1>
          <xm:sqref>B6</xm:sqref>
        </x14:dataValidation>
        <x14:dataValidation type="list" allowBlank="1" showInputMessage="1" showErrorMessage="1" xr:uid="{42F68491-7E2B-4BAF-8A2F-39EE9AF8D484}">
          <x14:formula1>
            <xm:f>opcoes_dropdown!$A$2:$A$5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FE048-E942-4CE1-97B9-FFCCA34F9CF4}">
  <sheetPr codeName="Sheet2"/>
  <dimension ref="A1:AD61"/>
  <sheetViews>
    <sheetView topLeftCell="H5" zoomScale="80" zoomScaleNormal="80" workbookViewId="0">
      <selection activeCell="AF42" sqref="AF42"/>
    </sheetView>
  </sheetViews>
  <sheetFormatPr baseColWidth="10" defaultColWidth="8.83203125" defaultRowHeight="15"/>
  <cols>
    <col min="3" max="3" width="2" customWidth="1"/>
    <col min="4" max="4" width="11.83203125" customWidth="1"/>
    <col min="5" max="5" width="11.6640625" customWidth="1"/>
    <col min="6" max="6" width="12.1640625" customWidth="1"/>
    <col min="7" max="7" width="21.1640625" customWidth="1"/>
    <col min="8" max="8" width="4.1640625" customWidth="1"/>
    <col min="9" max="9" width="9.33203125" customWidth="1"/>
    <col min="10" max="10" width="8.83203125" customWidth="1"/>
    <col min="11" max="11" width="10.33203125" customWidth="1"/>
    <col min="12" max="12" width="18.33203125" customWidth="1"/>
    <col min="13" max="13" width="3.83203125" customWidth="1"/>
    <col min="14" max="14" width="9.1640625" customWidth="1"/>
    <col min="15" max="15" width="7.83203125" customWidth="1"/>
    <col min="17" max="17" width="18" customWidth="1"/>
    <col min="18" max="18" width="3.5" customWidth="1"/>
    <col min="19" max="19" width="8.33203125" customWidth="1"/>
    <col min="20" max="20" width="6.83203125" customWidth="1"/>
    <col min="21" max="21" width="10.1640625" customWidth="1"/>
    <col min="22" max="22" width="16.83203125" customWidth="1"/>
    <col min="23" max="23" width="3.33203125" customWidth="1"/>
    <col min="24" max="24" width="9.5" customWidth="1"/>
    <col min="25" max="25" width="10.33203125" customWidth="1"/>
    <col min="27" max="27" width="3.83203125" customWidth="1"/>
    <col min="28" max="28" width="11.33203125" customWidth="1"/>
    <col min="29" max="29" width="10.5" customWidth="1"/>
    <col min="30" max="30" width="11.6640625" customWidth="1"/>
  </cols>
  <sheetData>
    <row r="1" spans="1:30" ht="28.5" customHeight="1">
      <c r="A1" s="4" t="s">
        <v>0</v>
      </c>
      <c r="B1" s="5">
        <v>2024</v>
      </c>
      <c r="D1" s="46" t="s">
        <v>1</v>
      </c>
      <c r="E1" s="47"/>
      <c r="F1" s="47"/>
      <c r="G1" s="47"/>
      <c r="H1" s="47"/>
      <c r="I1" s="47"/>
      <c r="J1" s="47"/>
      <c r="K1" s="48"/>
      <c r="L1" s="3"/>
      <c r="M1" s="3"/>
      <c r="N1" s="3"/>
      <c r="O1" s="3"/>
      <c r="P1" s="3"/>
      <c r="Q1" s="3"/>
      <c r="S1" s="3"/>
      <c r="T1" s="3"/>
      <c r="U1" s="3"/>
      <c r="V1" s="3"/>
      <c r="X1" s="3"/>
      <c r="Y1" s="3"/>
      <c r="Z1" s="3"/>
      <c r="AA1" s="3"/>
    </row>
    <row r="2" spans="1:30">
      <c r="D2" s="44" t="s">
        <v>28</v>
      </c>
      <c r="E2" s="42"/>
      <c r="F2" s="42"/>
      <c r="G2" s="42"/>
      <c r="H2" s="7"/>
      <c r="I2" s="42" t="s">
        <v>27</v>
      </c>
      <c r="J2" s="42"/>
      <c r="K2" s="43"/>
      <c r="L2" s="3"/>
      <c r="M2" s="3"/>
      <c r="N2" s="3"/>
      <c r="O2" s="3"/>
      <c r="P2" s="3"/>
      <c r="Q2" s="3"/>
      <c r="S2" s="3"/>
      <c r="T2" s="3"/>
      <c r="U2" s="3"/>
      <c r="V2" s="3"/>
      <c r="X2" s="3"/>
      <c r="Y2" s="3"/>
      <c r="Z2" s="3"/>
      <c r="AA2" s="3"/>
    </row>
    <row r="3" spans="1:30" ht="33">
      <c r="D3" s="13" t="s">
        <v>15</v>
      </c>
      <c r="E3" s="11" t="s">
        <v>24</v>
      </c>
      <c r="F3" s="11" t="s">
        <v>20</v>
      </c>
      <c r="G3" s="11" t="s">
        <v>21</v>
      </c>
      <c r="H3" s="7"/>
      <c r="I3" s="11" t="s">
        <v>25</v>
      </c>
      <c r="J3" s="11" t="s">
        <v>26</v>
      </c>
      <c r="K3" s="14" t="s">
        <v>4</v>
      </c>
      <c r="L3" s="3"/>
      <c r="M3" s="3"/>
      <c r="N3" s="3"/>
      <c r="O3" s="3"/>
      <c r="P3" s="3"/>
      <c r="Q3" s="3"/>
      <c r="S3" s="3"/>
      <c r="T3" s="3"/>
      <c r="U3" s="3"/>
      <c r="V3" s="3"/>
      <c r="X3" s="3"/>
      <c r="Y3" s="3"/>
      <c r="Z3" s="3"/>
      <c r="AA3" s="3"/>
    </row>
    <row r="4" spans="1:30" ht="36.5" customHeight="1">
      <c r="D4" s="15">
        <v>0</v>
      </c>
      <c r="E4" s="12">
        <v>1000</v>
      </c>
      <c r="F4" s="12">
        <v>1.0900000000000001</v>
      </c>
      <c r="G4" s="12">
        <v>849.03</v>
      </c>
      <c r="H4" s="7"/>
      <c r="I4" s="12">
        <v>0</v>
      </c>
      <c r="J4" s="12">
        <v>1</v>
      </c>
      <c r="K4" s="16">
        <v>0.1</v>
      </c>
      <c r="L4" s="3"/>
      <c r="M4" s="3"/>
      <c r="N4" s="3"/>
      <c r="O4" s="3"/>
      <c r="P4" s="3"/>
      <c r="Q4" s="3"/>
      <c r="S4" s="3"/>
      <c r="T4" s="3"/>
      <c r="U4" s="3"/>
      <c r="V4" s="3"/>
      <c r="X4" s="3"/>
      <c r="Y4" s="3"/>
      <c r="Z4" s="3"/>
      <c r="AA4" s="3"/>
    </row>
    <row r="5" spans="1:30" ht="40.5" customHeight="1">
      <c r="D5" s="15">
        <v>1001</v>
      </c>
      <c r="E5" s="12">
        <v>1250</v>
      </c>
      <c r="F5" s="12">
        <v>1.18</v>
      </c>
      <c r="G5" s="12">
        <v>850.69</v>
      </c>
      <c r="H5" s="7"/>
      <c r="I5" s="12">
        <v>1.01</v>
      </c>
      <c r="J5" s="12">
        <v>2</v>
      </c>
      <c r="K5" s="16">
        <v>0.2</v>
      </c>
      <c r="L5" s="3"/>
      <c r="M5" s="3"/>
      <c r="N5" s="3"/>
      <c r="O5" s="3"/>
      <c r="P5" s="3"/>
      <c r="Q5" s="3"/>
      <c r="S5" s="3"/>
      <c r="T5" s="3"/>
      <c r="U5" s="3"/>
      <c r="V5" s="3"/>
      <c r="X5" s="3"/>
      <c r="Y5" s="3"/>
      <c r="Z5" s="3"/>
      <c r="AA5" s="3"/>
    </row>
    <row r="6" spans="1:30" ht="72.5" customHeight="1">
      <c r="D6" s="15">
        <v>1251</v>
      </c>
      <c r="E6" s="12">
        <v>8000</v>
      </c>
      <c r="F6" s="12">
        <v>5.61</v>
      </c>
      <c r="G6" s="12">
        <v>6194.88</v>
      </c>
      <c r="H6" s="7"/>
      <c r="I6" s="12">
        <v>2.0099999999999998</v>
      </c>
      <c r="J6" s="12">
        <v>3</v>
      </c>
      <c r="K6" s="16">
        <v>0.28000000000000003</v>
      </c>
      <c r="L6" s="3"/>
      <c r="M6" s="3"/>
      <c r="N6" s="3"/>
      <c r="O6" s="3"/>
      <c r="P6" s="3"/>
      <c r="Q6" s="3"/>
      <c r="S6" s="3"/>
      <c r="T6" s="3"/>
      <c r="U6" s="3"/>
      <c r="V6" s="3"/>
      <c r="X6" s="3"/>
      <c r="Y6" s="3"/>
      <c r="Z6" s="3"/>
      <c r="AA6" s="3"/>
    </row>
    <row r="7" spans="1:30" ht="27" customHeight="1">
      <c r="D7" s="8"/>
      <c r="E7" s="7"/>
      <c r="F7" s="7"/>
      <c r="G7" s="7"/>
      <c r="H7" s="7"/>
      <c r="I7" s="12">
        <v>3.01</v>
      </c>
      <c r="J7" s="12">
        <v>4</v>
      </c>
      <c r="K7" s="16">
        <v>0.35</v>
      </c>
      <c r="L7" s="3"/>
      <c r="M7" s="3"/>
      <c r="N7" s="3"/>
      <c r="O7" s="3"/>
      <c r="P7" s="3"/>
      <c r="Q7" s="3"/>
      <c r="S7" s="3"/>
      <c r="T7" s="3"/>
      <c r="U7" s="3"/>
      <c r="V7" s="3"/>
      <c r="X7" s="3"/>
      <c r="Y7" s="3"/>
      <c r="Z7" s="3"/>
      <c r="AA7" s="3"/>
    </row>
    <row r="8" spans="1:30" ht="17.5" customHeight="1">
      <c r="D8" s="8"/>
      <c r="E8" s="7"/>
      <c r="F8" s="7"/>
      <c r="G8" s="7"/>
      <c r="H8" s="7"/>
      <c r="I8" s="12">
        <v>4.01</v>
      </c>
      <c r="J8" s="12">
        <v>5</v>
      </c>
      <c r="K8" s="16">
        <v>0.43</v>
      </c>
      <c r="L8" s="3"/>
      <c r="M8" s="3"/>
      <c r="N8" s="3"/>
      <c r="O8" s="3"/>
      <c r="P8" s="3"/>
      <c r="Q8" s="3"/>
      <c r="S8" s="3"/>
      <c r="T8" s="3"/>
      <c r="U8" s="3"/>
      <c r="V8" s="3"/>
      <c r="X8" s="3"/>
      <c r="Y8" s="3"/>
      <c r="Z8" s="3"/>
      <c r="AA8" s="3"/>
    </row>
    <row r="9" spans="1:30">
      <c r="D9" s="8"/>
      <c r="E9" s="7"/>
      <c r="F9" s="7"/>
      <c r="G9" s="7"/>
      <c r="H9" s="7"/>
      <c r="I9" s="12">
        <v>5.01</v>
      </c>
      <c r="J9" s="12">
        <v>6</v>
      </c>
      <c r="K9" s="16">
        <v>0.52</v>
      </c>
      <c r="L9" s="3"/>
      <c r="M9" s="3"/>
      <c r="N9" s="3"/>
      <c r="O9" s="3"/>
      <c r="P9" s="3"/>
      <c r="Q9" s="3"/>
      <c r="S9" s="3"/>
      <c r="T9" s="3"/>
      <c r="U9" s="3"/>
      <c r="V9" s="3"/>
      <c r="X9" s="3"/>
      <c r="Y9" s="3"/>
      <c r="Z9" s="3"/>
      <c r="AA9" s="3"/>
    </row>
    <row r="10" spans="1:30">
      <c r="D10" s="8"/>
      <c r="E10" s="7"/>
      <c r="F10" s="7"/>
      <c r="G10" s="7"/>
      <c r="H10" s="7"/>
      <c r="I10" s="12">
        <v>6.01</v>
      </c>
      <c r="J10" s="12">
        <v>7</v>
      </c>
      <c r="K10" s="16">
        <v>0.6</v>
      </c>
      <c r="N10" s="3"/>
      <c r="O10" s="3"/>
      <c r="P10" s="3"/>
      <c r="Q10" s="3"/>
      <c r="X10" s="3"/>
      <c r="Y10" s="3"/>
      <c r="Z10" s="3"/>
      <c r="AA10" s="3"/>
    </row>
    <row r="11" spans="1:30">
      <c r="D11" s="8"/>
      <c r="E11" s="7"/>
      <c r="F11" s="7"/>
      <c r="G11" s="7"/>
      <c r="H11" s="7"/>
      <c r="I11" s="12">
        <v>7.01</v>
      </c>
      <c r="J11" s="12">
        <v>8</v>
      </c>
      <c r="K11" s="16">
        <v>0.65</v>
      </c>
      <c r="N11" s="3"/>
      <c r="O11" s="3"/>
      <c r="P11" s="3"/>
      <c r="Q11" s="3"/>
      <c r="X11" s="3"/>
      <c r="Y11" s="3"/>
      <c r="Z11" s="3"/>
      <c r="AA11" s="3"/>
    </row>
    <row r="12" spans="1:30">
      <c r="D12" s="8"/>
      <c r="E12" s="7"/>
      <c r="F12" s="7"/>
      <c r="G12" s="7"/>
      <c r="H12" s="7"/>
      <c r="I12" s="12">
        <v>8.01</v>
      </c>
      <c r="J12" s="12">
        <v>9</v>
      </c>
      <c r="K12" s="16">
        <v>0.7</v>
      </c>
      <c r="N12" s="3"/>
      <c r="O12" s="3"/>
      <c r="P12" s="3"/>
      <c r="Q12" s="3"/>
    </row>
    <row r="13" spans="1:30">
      <c r="D13" s="8"/>
      <c r="E13" s="7"/>
      <c r="F13" s="7"/>
      <c r="G13" s="7"/>
      <c r="H13" s="7"/>
      <c r="I13" s="12">
        <v>9.01</v>
      </c>
      <c r="J13" s="12">
        <v>10</v>
      </c>
      <c r="K13" s="16">
        <v>0.75</v>
      </c>
    </row>
    <row r="14" spans="1:30" ht="29.5" customHeight="1" thickBot="1">
      <c r="D14" s="9"/>
      <c r="E14" s="10"/>
      <c r="F14" s="10"/>
      <c r="G14" s="10"/>
      <c r="H14" s="10"/>
      <c r="I14" s="17">
        <v>10.01</v>
      </c>
      <c r="J14" s="17">
        <v>100</v>
      </c>
      <c r="K14" s="18">
        <v>0.8</v>
      </c>
    </row>
    <row r="15" spans="1:30" ht="16" thickBot="1"/>
    <row r="16" spans="1:30" ht="16">
      <c r="D16" s="46" t="s">
        <v>2</v>
      </c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6"/>
      <c r="X16" s="6"/>
      <c r="Y16" s="6"/>
      <c r="Z16" s="6"/>
      <c r="AA16" s="6"/>
      <c r="AB16" s="6"/>
      <c r="AC16" s="6"/>
      <c r="AD16" s="19"/>
    </row>
    <row r="17" spans="4:30">
      <c r="D17" s="44" t="s">
        <v>28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7"/>
      <c r="X17" s="44" t="s">
        <v>33</v>
      </c>
      <c r="Y17" s="42"/>
      <c r="Z17" s="42"/>
      <c r="AA17" s="7"/>
      <c r="AB17" s="42" t="s">
        <v>27</v>
      </c>
      <c r="AC17" s="42"/>
      <c r="AD17" s="43"/>
    </row>
    <row r="18" spans="4:30" ht="25" customHeight="1">
      <c r="D18" s="49" t="s">
        <v>16</v>
      </c>
      <c r="E18" s="50"/>
      <c r="F18" s="50"/>
      <c r="G18" s="50"/>
      <c r="H18" s="50"/>
      <c r="I18" s="50"/>
      <c r="J18" s="50"/>
      <c r="K18" s="50"/>
      <c r="L18" s="50"/>
      <c r="M18" s="21"/>
      <c r="N18" s="45" t="s">
        <v>3</v>
      </c>
      <c r="O18" s="45"/>
      <c r="P18" s="45"/>
      <c r="Q18" s="45"/>
      <c r="R18" s="45"/>
      <c r="S18" s="45"/>
      <c r="T18" s="45"/>
      <c r="U18" s="45"/>
      <c r="V18" s="45"/>
      <c r="W18" s="20"/>
      <c r="X18" s="45" t="s">
        <v>3</v>
      </c>
      <c r="Y18" s="45"/>
      <c r="Z18" s="45"/>
      <c r="AA18" s="7"/>
      <c r="AB18" s="23"/>
      <c r="AC18" s="23"/>
      <c r="AD18" s="24"/>
    </row>
    <row r="19" spans="4:30">
      <c r="D19" s="51" t="s">
        <v>17</v>
      </c>
      <c r="E19" s="52"/>
      <c r="F19" s="52"/>
      <c r="G19" s="52"/>
      <c r="H19" s="22"/>
      <c r="I19" s="53" t="s">
        <v>23</v>
      </c>
      <c r="J19" s="53"/>
      <c r="K19" s="53"/>
      <c r="L19" s="53"/>
      <c r="M19" s="23"/>
      <c r="N19" s="52" t="s">
        <v>17</v>
      </c>
      <c r="O19" s="52"/>
      <c r="P19" s="52"/>
      <c r="Q19" s="52"/>
      <c r="R19" s="23"/>
      <c r="S19" s="53" t="s">
        <v>23</v>
      </c>
      <c r="T19" s="53"/>
      <c r="U19" s="53"/>
      <c r="V19" s="53"/>
      <c r="W19" s="7"/>
      <c r="X19" s="23"/>
      <c r="Y19" s="23"/>
      <c r="Z19" s="23"/>
      <c r="AA19" s="7"/>
      <c r="AB19" s="23"/>
      <c r="AC19" s="23"/>
      <c r="AD19" s="24"/>
    </row>
    <row r="20" spans="4:30" ht="33">
      <c r="D20" s="13" t="s">
        <v>19</v>
      </c>
      <c r="E20" s="11" t="s">
        <v>18</v>
      </c>
      <c r="F20" s="11" t="s">
        <v>22</v>
      </c>
      <c r="G20" s="11" t="s">
        <v>21</v>
      </c>
      <c r="H20" s="23"/>
      <c r="I20" s="11" t="s">
        <v>19</v>
      </c>
      <c r="J20" s="11" t="s">
        <v>18</v>
      </c>
      <c r="K20" s="11" t="s">
        <v>22</v>
      </c>
      <c r="L20" s="11" t="s">
        <v>21</v>
      </c>
      <c r="M20" s="23"/>
      <c r="N20" s="11" t="s">
        <v>19</v>
      </c>
      <c r="O20" s="11" t="s">
        <v>18</v>
      </c>
      <c r="P20" s="11" t="s">
        <v>22</v>
      </c>
      <c r="Q20" s="11" t="s">
        <v>21</v>
      </c>
      <c r="R20" s="23"/>
      <c r="S20" s="11" t="s">
        <v>19</v>
      </c>
      <c r="T20" s="11" t="s">
        <v>18</v>
      </c>
      <c r="U20" s="11" t="s">
        <v>22</v>
      </c>
      <c r="V20" s="11" t="s">
        <v>21</v>
      </c>
      <c r="W20" s="7"/>
      <c r="X20" s="11" t="s">
        <v>32</v>
      </c>
      <c r="Y20" s="11" t="s">
        <v>31</v>
      </c>
      <c r="Z20" s="11" t="s">
        <v>30</v>
      </c>
      <c r="AA20" s="7"/>
      <c r="AB20" s="11" t="s">
        <v>25</v>
      </c>
      <c r="AC20" s="11" t="s">
        <v>26</v>
      </c>
      <c r="AD20" s="14" t="s">
        <v>5</v>
      </c>
    </row>
    <row r="21" spans="4:30" ht="17" customHeight="1">
      <c r="D21" s="15">
        <v>0</v>
      </c>
      <c r="E21" s="12">
        <v>99</v>
      </c>
      <c r="F21" s="12">
        <v>4.62</v>
      </c>
      <c r="G21" s="12">
        <v>427</v>
      </c>
      <c r="H21" s="12"/>
      <c r="I21" s="12">
        <v>0</v>
      </c>
      <c r="J21" s="12">
        <v>110</v>
      </c>
      <c r="K21" s="12">
        <v>0.44</v>
      </c>
      <c r="L21" s="12">
        <v>43.02</v>
      </c>
      <c r="M21" s="23"/>
      <c r="N21" s="12">
        <v>0</v>
      </c>
      <c r="O21" s="12">
        <v>79</v>
      </c>
      <c r="P21" s="12">
        <v>5.78</v>
      </c>
      <c r="Q21" s="12">
        <v>439.04</v>
      </c>
      <c r="R21" s="23"/>
      <c r="S21" s="12">
        <v>0</v>
      </c>
      <c r="T21" s="12">
        <v>110</v>
      </c>
      <c r="U21" s="12">
        <v>1.72</v>
      </c>
      <c r="V21" s="12">
        <v>11.5</v>
      </c>
      <c r="W21" s="7"/>
      <c r="X21" s="12">
        <v>0</v>
      </c>
      <c r="Y21" s="12" t="s">
        <v>29</v>
      </c>
      <c r="Z21" s="12">
        <v>0</v>
      </c>
      <c r="AA21" s="7"/>
      <c r="AB21" s="12">
        <v>0</v>
      </c>
      <c r="AC21" s="12">
        <v>2</v>
      </c>
      <c r="AD21" s="16">
        <v>0.1</v>
      </c>
    </row>
    <row r="22" spans="4:30">
      <c r="D22" s="15">
        <v>100</v>
      </c>
      <c r="E22" s="12">
        <v>115</v>
      </c>
      <c r="F22" s="12">
        <v>8.09</v>
      </c>
      <c r="G22" s="12">
        <v>750.99</v>
      </c>
      <c r="H22" s="12"/>
      <c r="I22" s="12">
        <v>111</v>
      </c>
      <c r="J22" s="12">
        <v>115</v>
      </c>
      <c r="K22" s="12">
        <v>1.1000000000000001</v>
      </c>
      <c r="L22" s="12">
        <v>115.8</v>
      </c>
      <c r="M22" s="23"/>
      <c r="N22" s="12">
        <v>80</v>
      </c>
      <c r="O22" s="12">
        <v>95</v>
      </c>
      <c r="P22" s="12">
        <v>23.45</v>
      </c>
      <c r="Q22" s="12">
        <v>1848.58</v>
      </c>
      <c r="R22" s="23"/>
      <c r="S22" s="12">
        <v>111</v>
      </c>
      <c r="T22" s="12">
        <v>120</v>
      </c>
      <c r="U22" s="12">
        <v>18.96</v>
      </c>
      <c r="V22" s="12">
        <v>1906.19</v>
      </c>
      <c r="W22" s="7"/>
      <c r="X22" s="12">
        <v>1.1000000000000001E-3</v>
      </c>
      <c r="Y22" s="12">
        <v>400</v>
      </c>
      <c r="Z22" s="12">
        <v>500</v>
      </c>
      <c r="AA22" s="7"/>
      <c r="AB22" s="12">
        <v>2.0099999999999998</v>
      </c>
      <c r="AC22" s="12">
        <v>4</v>
      </c>
      <c r="AD22" s="16">
        <v>2E-3</v>
      </c>
    </row>
    <row r="23" spans="4:30">
      <c r="D23" s="15">
        <v>116</v>
      </c>
      <c r="E23" s="12">
        <v>145</v>
      </c>
      <c r="F23" s="12">
        <v>52.56</v>
      </c>
      <c r="G23" s="12">
        <v>5903.94</v>
      </c>
      <c r="H23" s="12"/>
      <c r="I23" s="12">
        <v>116</v>
      </c>
      <c r="J23" s="12">
        <v>120</v>
      </c>
      <c r="K23" s="12">
        <v>1.38</v>
      </c>
      <c r="L23" s="12">
        <v>147.79</v>
      </c>
      <c r="M23" s="23"/>
      <c r="N23" s="12">
        <v>96</v>
      </c>
      <c r="O23" s="12">
        <v>120</v>
      </c>
      <c r="P23" s="12">
        <v>79.22</v>
      </c>
      <c r="Q23" s="12">
        <v>7195.63</v>
      </c>
      <c r="R23" s="23"/>
      <c r="S23" s="12">
        <v>121</v>
      </c>
      <c r="T23" s="12">
        <v>140</v>
      </c>
      <c r="U23" s="12">
        <v>65.040000000000006</v>
      </c>
      <c r="V23" s="12">
        <v>7360.85</v>
      </c>
      <c r="W23" s="7"/>
      <c r="X23" s="7"/>
      <c r="Y23" s="7"/>
      <c r="Z23" s="7"/>
      <c r="AA23" s="7"/>
      <c r="AB23" s="12">
        <v>4.01</v>
      </c>
      <c r="AC23" s="12">
        <v>6</v>
      </c>
      <c r="AD23" s="16">
        <v>0.28000000000000003</v>
      </c>
    </row>
    <row r="24" spans="4:30">
      <c r="D24" s="15">
        <v>146</v>
      </c>
      <c r="E24" s="12">
        <v>175</v>
      </c>
      <c r="F24" s="12">
        <v>61.24</v>
      </c>
      <c r="G24" s="12">
        <v>7140.17</v>
      </c>
      <c r="H24" s="12"/>
      <c r="I24" s="12">
        <v>121</v>
      </c>
      <c r="J24" s="12">
        <v>130</v>
      </c>
      <c r="K24" s="12">
        <v>5.27</v>
      </c>
      <c r="L24" s="12">
        <v>619.16999999999996</v>
      </c>
      <c r="M24" s="23"/>
      <c r="N24" s="12">
        <v>121</v>
      </c>
      <c r="O24" s="12">
        <v>140</v>
      </c>
      <c r="P24" s="12">
        <v>175.73</v>
      </c>
      <c r="Q24" s="12">
        <v>18924.919999999998</v>
      </c>
      <c r="R24" s="23"/>
      <c r="S24" s="12">
        <v>141</v>
      </c>
      <c r="T24" s="12">
        <v>150</v>
      </c>
      <c r="U24" s="12">
        <v>127.4</v>
      </c>
      <c r="V24" s="12">
        <v>16080.57</v>
      </c>
      <c r="W24" s="7"/>
      <c r="X24" s="7"/>
      <c r="Y24" s="7"/>
      <c r="Z24" s="7"/>
      <c r="AA24" s="7"/>
      <c r="AB24" s="12">
        <v>6.01</v>
      </c>
      <c r="AC24" s="12">
        <v>7</v>
      </c>
      <c r="AD24" s="16">
        <v>0.35</v>
      </c>
    </row>
    <row r="25" spans="4:30">
      <c r="D25" s="15">
        <v>176</v>
      </c>
      <c r="E25" s="12">
        <v>195</v>
      </c>
      <c r="F25" s="12">
        <v>155.97</v>
      </c>
      <c r="G25" s="12">
        <v>23627.27</v>
      </c>
      <c r="H25" s="12"/>
      <c r="I25" s="12">
        <v>131</v>
      </c>
      <c r="J25" s="12">
        <v>145</v>
      </c>
      <c r="K25" s="12">
        <v>6.38</v>
      </c>
      <c r="L25" s="12">
        <v>762.73</v>
      </c>
      <c r="M25" s="23"/>
      <c r="N25" s="12">
        <v>141</v>
      </c>
      <c r="O25" s="12">
        <v>160</v>
      </c>
      <c r="P25" s="12">
        <v>195.43</v>
      </c>
      <c r="Q25" s="12">
        <v>21720.92</v>
      </c>
      <c r="R25" s="23"/>
      <c r="S25" s="12">
        <v>151</v>
      </c>
      <c r="T25" s="12">
        <v>160</v>
      </c>
      <c r="U25" s="12">
        <v>160.81</v>
      </c>
      <c r="V25" s="12">
        <v>21176.06</v>
      </c>
      <c r="W25" s="7"/>
      <c r="X25" s="7"/>
      <c r="Y25" s="7"/>
      <c r="Z25" s="7"/>
      <c r="AA25" s="7"/>
      <c r="AB25" s="12">
        <v>7.01</v>
      </c>
      <c r="AC25" s="12">
        <v>9</v>
      </c>
      <c r="AD25" s="16">
        <v>0.43</v>
      </c>
    </row>
    <row r="26" spans="4:30">
      <c r="D26" s="15">
        <v>196</v>
      </c>
      <c r="E26" s="12">
        <v>400</v>
      </c>
      <c r="F26" s="12">
        <v>205.65</v>
      </c>
      <c r="G26" s="12">
        <v>33390.120000000003</v>
      </c>
      <c r="H26" s="12"/>
      <c r="I26" s="12">
        <v>146</v>
      </c>
      <c r="J26" s="12">
        <v>175</v>
      </c>
      <c r="K26" s="12">
        <v>41.54</v>
      </c>
      <c r="L26" s="12">
        <v>5819.56</v>
      </c>
      <c r="M26" s="23"/>
      <c r="N26" s="12">
        <v>161</v>
      </c>
      <c r="O26" s="12">
        <v>400</v>
      </c>
      <c r="P26" s="12">
        <v>268.42</v>
      </c>
      <c r="Q26" s="12">
        <v>33447.9</v>
      </c>
      <c r="R26" s="23"/>
      <c r="S26" s="12">
        <v>161</v>
      </c>
      <c r="T26" s="12">
        <v>170</v>
      </c>
      <c r="U26" s="12">
        <v>221.69</v>
      </c>
      <c r="V26" s="12">
        <v>29227.38</v>
      </c>
      <c r="W26" s="7"/>
      <c r="X26" s="7"/>
      <c r="Y26" s="7"/>
      <c r="Z26" s="7"/>
      <c r="AA26" s="7"/>
      <c r="AB26" s="12">
        <v>9.01</v>
      </c>
      <c r="AC26" s="12">
        <v>10</v>
      </c>
      <c r="AD26" s="16">
        <v>0.52</v>
      </c>
    </row>
    <row r="27" spans="4:30">
      <c r="D27" s="25"/>
      <c r="E27" s="23"/>
      <c r="F27" s="23"/>
      <c r="G27" s="23"/>
      <c r="H27" s="23"/>
      <c r="I27" s="12">
        <v>176</v>
      </c>
      <c r="J27" s="12">
        <v>195</v>
      </c>
      <c r="K27" s="12">
        <v>51.38</v>
      </c>
      <c r="L27" s="12">
        <v>7247.39</v>
      </c>
      <c r="M27" s="23"/>
      <c r="N27" s="23"/>
      <c r="O27" s="23"/>
      <c r="P27" s="23"/>
      <c r="Q27" s="23"/>
      <c r="R27" s="23"/>
      <c r="S27" s="12">
        <v>171</v>
      </c>
      <c r="T27" s="12">
        <v>190</v>
      </c>
      <c r="U27" s="12">
        <v>274.08</v>
      </c>
      <c r="V27" s="12">
        <v>36987.980000000003</v>
      </c>
      <c r="W27" s="7"/>
      <c r="X27" s="7"/>
      <c r="Y27" s="7"/>
      <c r="Z27" s="7"/>
      <c r="AA27" s="7"/>
      <c r="AB27" s="12">
        <v>10.01</v>
      </c>
      <c r="AC27" s="12">
        <v>12</v>
      </c>
      <c r="AD27" s="16">
        <v>0.6</v>
      </c>
    </row>
    <row r="28" spans="4:30">
      <c r="D28" s="25"/>
      <c r="E28" s="23"/>
      <c r="F28" s="23"/>
      <c r="G28" s="23"/>
      <c r="H28" s="23"/>
      <c r="I28" s="12">
        <v>196</v>
      </c>
      <c r="J28" s="12">
        <v>235</v>
      </c>
      <c r="K28" s="12">
        <v>193.01</v>
      </c>
      <c r="L28" s="12">
        <v>34190.519999999997</v>
      </c>
      <c r="M28" s="23"/>
      <c r="N28" s="23"/>
      <c r="O28" s="23"/>
      <c r="P28" s="23"/>
      <c r="Q28" s="23"/>
      <c r="R28" s="23"/>
      <c r="S28" s="12">
        <v>191</v>
      </c>
      <c r="T28" s="12">
        <v>400</v>
      </c>
      <c r="U28" s="12">
        <v>282.35000000000002</v>
      </c>
      <c r="V28" s="12">
        <v>38271.32</v>
      </c>
      <c r="W28" s="7"/>
      <c r="X28" s="7"/>
      <c r="Y28" s="7"/>
      <c r="Z28" s="7"/>
      <c r="AA28" s="7"/>
      <c r="AB28" s="12">
        <v>12.01</v>
      </c>
      <c r="AC28" s="12">
        <v>13</v>
      </c>
      <c r="AD28" s="16">
        <v>0.65</v>
      </c>
    </row>
    <row r="29" spans="4:30">
      <c r="D29" s="25"/>
      <c r="E29" s="23"/>
      <c r="F29" s="23"/>
      <c r="G29" s="23"/>
      <c r="H29" s="23"/>
      <c r="I29" s="12">
        <v>235</v>
      </c>
      <c r="J29" s="12">
        <v>400</v>
      </c>
      <c r="K29" s="12">
        <v>233.81</v>
      </c>
      <c r="L29" s="12">
        <v>41910.959999999999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7"/>
      <c r="X29" s="7"/>
      <c r="Y29" s="7"/>
      <c r="Z29" s="7"/>
      <c r="AA29" s="7"/>
      <c r="AB29" s="12">
        <v>13.01</v>
      </c>
      <c r="AC29" s="12">
        <v>14</v>
      </c>
      <c r="AD29" s="16">
        <v>0.7</v>
      </c>
    </row>
    <row r="30" spans="4:30" ht="17" customHeight="1">
      <c r="D30" s="8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12">
        <v>14.01</v>
      </c>
      <c r="AC30" s="12">
        <v>15</v>
      </c>
      <c r="AD30" s="16">
        <v>0.75</v>
      </c>
    </row>
    <row r="31" spans="4:30" ht="16" thickBot="1">
      <c r="D31" s="9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7">
        <v>15</v>
      </c>
      <c r="AC31" s="17">
        <v>100</v>
      </c>
      <c r="AD31" s="18">
        <v>0.8</v>
      </c>
    </row>
    <row r="34" spans="4:6">
      <c r="F34" s="1"/>
    </row>
    <row r="42" spans="4:6" ht="27" customHeight="1"/>
    <row r="43" spans="4:6" ht="27" customHeight="1"/>
    <row r="48" spans="4:6">
      <c r="D48" t="s">
        <v>7</v>
      </c>
      <c r="E48" t="s">
        <v>8</v>
      </c>
    </row>
    <row r="49" spans="4:17">
      <c r="D49" t="s">
        <v>6</v>
      </c>
      <c r="E49">
        <v>1499</v>
      </c>
    </row>
    <row r="50" spans="4:17">
      <c r="D50" t="s">
        <v>0</v>
      </c>
      <c r="E50">
        <v>2022</v>
      </c>
      <c r="F50">
        <v>2</v>
      </c>
    </row>
    <row r="51" spans="4:17">
      <c r="D51" t="s">
        <v>9</v>
      </c>
      <c r="E51" s="1">
        <f>E49*F6-G6</f>
        <v>2214.5100000000011</v>
      </c>
    </row>
    <row r="52" spans="4:17">
      <c r="D52" t="s">
        <v>10</v>
      </c>
      <c r="E52" s="2">
        <f>E51*(1-K5)</f>
        <v>1771.6080000000011</v>
      </c>
    </row>
    <row r="57" spans="4:17">
      <c r="I57" t="s">
        <v>11</v>
      </c>
      <c r="J57">
        <v>100</v>
      </c>
    </row>
    <row r="58" spans="4:17">
      <c r="I58" t="s">
        <v>12</v>
      </c>
      <c r="J58">
        <f>J57*Z4-AA4</f>
        <v>0</v>
      </c>
    </row>
    <row r="59" spans="4:17">
      <c r="I59" t="s">
        <v>13</v>
      </c>
      <c r="J59">
        <f>J58*(1-AD21)</f>
        <v>0</v>
      </c>
    </row>
    <row r="60" spans="4:17">
      <c r="P60" t="s">
        <v>14</v>
      </c>
      <c r="Q60" s="2">
        <f>J59+E52+Z22</f>
        <v>2271.6080000000011</v>
      </c>
    </row>
    <row r="61" spans="4:17">
      <c r="Q61" s="2">
        <f>J59+E52</f>
        <v>1771.6080000000011</v>
      </c>
    </row>
  </sheetData>
  <mergeCells count="14">
    <mergeCell ref="D19:G19"/>
    <mergeCell ref="I19:L19"/>
    <mergeCell ref="N19:Q19"/>
    <mergeCell ref="S19:V19"/>
    <mergeCell ref="D2:G2"/>
    <mergeCell ref="I2:K2"/>
    <mergeCell ref="AB17:AD17"/>
    <mergeCell ref="D17:V17"/>
    <mergeCell ref="X18:Z18"/>
    <mergeCell ref="D1:K1"/>
    <mergeCell ref="X17:Z17"/>
    <mergeCell ref="D16:V16"/>
    <mergeCell ref="D18:L18"/>
    <mergeCell ref="N18:V18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F7CE5-8925-45A6-8E18-C58EE6DB8D89}">
  <sheetPr codeName="Sheet3"/>
  <dimension ref="A1:V18"/>
  <sheetViews>
    <sheetView topLeftCell="C2" workbookViewId="0">
      <selection activeCell="T5" sqref="T5"/>
    </sheetView>
  </sheetViews>
  <sheetFormatPr baseColWidth="10" defaultColWidth="8.83203125" defaultRowHeight="15"/>
  <cols>
    <col min="9" max="9" width="2.5" customWidth="1"/>
  </cols>
  <sheetData>
    <row r="1" spans="1:22" ht="17" customHeight="1">
      <c r="A1" t="s">
        <v>42</v>
      </c>
      <c r="B1">
        <v>2024</v>
      </c>
      <c r="D1" s="57" t="s">
        <v>16</v>
      </c>
      <c r="E1" s="57"/>
      <c r="F1" s="57"/>
      <c r="G1" s="57"/>
      <c r="H1" s="57"/>
      <c r="J1" s="54" t="s">
        <v>3</v>
      </c>
      <c r="K1" s="54"/>
      <c r="L1" s="54"/>
      <c r="M1" s="54"/>
      <c r="N1" s="54"/>
      <c r="P1" s="55" t="s">
        <v>100</v>
      </c>
      <c r="Q1" s="55"/>
      <c r="R1" s="55"/>
      <c r="S1" s="55"/>
    </row>
    <row r="2" spans="1:22" ht="51" customHeight="1">
      <c r="D2" s="58" t="s">
        <v>43</v>
      </c>
      <c r="E2" s="58"/>
      <c r="F2" s="58"/>
      <c r="G2" s="58"/>
      <c r="H2" s="58"/>
      <c r="J2" s="59" t="s">
        <v>43</v>
      </c>
      <c r="K2" s="59"/>
      <c r="L2" s="59"/>
      <c r="M2" s="59"/>
      <c r="N2" s="59"/>
      <c r="P2" s="56" t="s">
        <v>43</v>
      </c>
      <c r="Q2" s="56"/>
      <c r="R2" s="56"/>
      <c r="S2" s="56"/>
    </row>
    <row r="3" spans="1:22" ht="51" customHeight="1">
      <c r="D3" s="33"/>
      <c r="E3" s="33"/>
      <c r="F3" s="33">
        <v>1996</v>
      </c>
      <c r="G3" s="33">
        <v>1990</v>
      </c>
      <c r="H3" s="33">
        <v>1981</v>
      </c>
      <c r="J3" s="33"/>
      <c r="K3" s="33"/>
      <c r="L3" s="33">
        <v>1996</v>
      </c>
      <c r="M3" s="33">
        <v>1990</v>
      </c>
      <c r="N3" s="33">
        <v>1981</v>
      </c>
      <c r="P3" s="33" t="s">
        <v>101</v>
      </c>
      <c r="Q3" s="33" t="s">
        <v>45</v>
      </c>
      <c r="R3" s="33" t="s">
        <v>46</v>
      </c>
      <c r="S3" s="33" t="s">
        <v>47</v>
      </c>
    </row>
    <row r="4" spans="1:22" ht="23" thickBot="1">
      <c r="D4" s="33" t="s">
        <v>44</v>
      </c>
      <c r="E4" s="33" t="s">
        <v>44</v>
      </c>
      <c r="F4" s="33">
        <v>2007</v>
      </c>
      <c r="G4" s="33">
        <v>1995</v>
      </c>
      <c r="H4" s="33">
        <v>1989</v>
      </c>
      <c r="J4" s="33" t="s">
        <v>44</v>
      </c>
      <c r="K4" s="33" t="s">
        <v>44</v>
      </c>
      <c r="L4" s="33">
        <v>2007</v>
      </c>
      <c r="M4" s="33">
        <v>1995</v>
      </c>
      <c r="N4" s="33">
        <v>1989</v>
      </c>
    </row>
    <row r="5" spans="1:22" ht="23" thickBot="1">
      <c r="D5" s="34">
        <v>0</v>
      </c>
      <c r="E5" s="34">
        <v>1000</v>
      </c>
      <c r="F5" s="37">
        <v>19.899999999999999</v>
      </c>
      <c r="G5" s="37">
        <v>12.2</v>
      </c>
      <c r="H5" s="34">
        <v>0</v>
      </c>
      <c r="J5" s="34">
        <v>0</v>
      </c>
      <c r="K5" s="34">
        <v>1500</v>
      </c>
      <c r="L5" s="34" t="s">
        <v>53</v>
      </c>
      <c r="M5" s="34" t="s">
        <v>54</v>
      </c>
      <c r="N5" s="34" t="s">
        <v>55</v>
      </c>
      <c r="P5" s="34" t="s">
        <v>102</v>
      </c>
      <c r="Q5" s="34" t="s">
        <v>48</v>
      </c>
      <c r="R5" s="34" t="s">
        <v>52</v>
      </c>
      <c r="S5" s="34" t="s">
        <v>49</v>
      </c>
    </row>
    <row r="6" spans="1:22" ht="23" thickBot="1">
      <c r="D6" s="34">
        <v>1001</v>
      </c>
      <c r="E6" s="34">
        <v>1300</v>
      </c>
      <c r="F6" s="37">
        <v>39.950000000000003</v>
      </c>
      <c r="G6" s="37">
        <v>22.45</v>
      </c>
      <c r="H6" s="37">
        <v>12.55</v>
      </c>
      <c r="J6" s="34">
        <v>1501</v>
      </c>
      <c r="K6" s="34">
        <v>2000</v>
      </c>
      <c r="L6" s="34" t="s">
        <v>56</v>
      </c>
      <c r="M6" s="34" t="s">
        <v>57</v>
      </c>
      <c r="N6" s="34" t="s">
        <v>54</v>
      </c>
      <c r="P6" s="35" t="s">
        <v>103</v>
      </c>
      <c r="Q6" s="35" t="s">
        <v>50</v>
      </c>
      <c r="R6" s="35" t="s">
        <v>51</v>
      </c>
      <c r="S6" s="36" t="s">
        <v>52</v>
      </c>
    </row>
    <row r="7" spans="1:22" ht="23" thickBot="1">
      <c r="D7" s="34">
        <v>1301</v>
      </c>
      <c r="E7" s="34">
        <v>1750</v>
      </c>
      <c r="F7" s="37">
        <v>62.4</v>
      </c>
      <c r="G7" s="37">
        <v>34.869999999999997</v>
      </c>
      <c r="H7" s="37">
        <v>17.489999999999998</v>
      </c>
      <c r="J7" s="34">
        <v>2001</v>
      </c>
      <c r="K7" s="34">
        <v>3000</v>
      </c>
      <c r="L7" s="34" t="s">
        <v>58</v>
      </c>
      <c r="M7" s="34" t="s">
        <v>59</v>
      </c>
      <c r="N7" s="34" t="s">
        <v>60</v>
      </c>
    </row>
    <row r="8" spans="1:22" ht="23" thickBot="1">
      <c r="D8" s="34">
        <v>1751</v>
      </c>
      <c r="E8" s="34">
        <v>2600</v>
      </c>
      <c r="F8" s="37">
        <v>158.31</v>
      </c>
      <c r="G8" s="37">
        <v>83.49</v>
      </c>
      <c r="H8" s="37">
        <v>36.090000000000003</v>
      </c>
      <c r="J8" s="38">
        <v>3001</v>
      </c>
      <c r="K8" s="38">
        <v>8000</v>
      </c>
      <c r="L8" s="38" t="s">
        <v>61</v>
      </c>
      <c r="M8" s="38" t="s">
        <v>62</v>
      </c>
      <c r="N8" s="38" t="s">
        <v>63</v>
      </c>
    </row>
    <row r="9" spans="1:22" ht="16" thickBot="1">
      <c r="D9" s="34">
        <v>2601</v>
      </c>
      <c r="E9" s="34">
        <v>3500</v>
      </c>
      <c r="F9" s="37">
        <v>287.49</v>
      </c>
      <c r="G9" s="34">
        <v>156.54</v>
      </c>
      <c r="H9" s="37">
        <v>79.72</v>
      </c>
    </row>
    <row r="10" spans="1:22" ht="16" thickBot="1">
      <c r="D10" s="38">
        <v>3501</v>
      </c>
      <c r="E10" s="38">
        <v>8000</v>
      </c>
      <c r="F10" s="39">
        <v>512.23</v>
      </c>
      <c r="G10" s="39">
        <v>263.11</v>
      </c>
      <c r="H10" s="39">
        <v>120.9</v>
      </c>
    </row>
    <row r="13" spans="1:22" ht="45" thickBot="1">
      <c r="E13" s="33" t="s">
        <v>44</v>
      </c>
      <c r="F13" s="33" t="s">
        <v>64</v>
      </c>
      <c r="K13" s="33" t="s">
        <v>73</v>
      </c>
      <c r="M13" s="33" t="s">
        <v>74</v>
      </c>
      <c r="N13" s="33" t="s">
        <v>64</v>
      </c>
      <c r="O13" s="33" t="s">
        <v>75</v>
      </c>
      <c r="Q13" s="33" t="s">
        <v>88</v>
      </c>
      <c r="R13" s="33" t="s">
        <v>89</v>
      </c>
      <c r="U13" s="54" t="s">
        <v>3</v>
      </c>
      <c r="V13" s="54"/>
    </row>
    <row r="14" spans="1:22" ht="23" thickBot="1">
      <c r="E14" s="34" t="s">
        <v>65</v>
      </c>
      <c r="F14" s="34" t="s">
        <v>66</v>
      </c>
      <c r="K14" s="34" t="s">
        <v>76</v>
      </c>
      <c r="M14" s="34" t="s">
        <v>77</v>
      </c>
      <c r="N14" s="34" t="s">
        <v>78</v>
      </c>
      <c r="O14" s="40">
        <v>0</v>
      </c>
      <c r="Q14" s="34">
        <v>2007</v>
      </c>
      <c r="R14" s="34" t="s">
        <v>90</v>
      </c>
      <c r="U14" s="33" t="s">
        <v>44</v>
      </c>
      <c r="V14" s="33" t="s">
        <v>95</v>
      </c>
    </row>
    <row r="15" spans="1:22" ht="16" thickBot="1">
      <c r="E15" s="34" t="s">
        <v>67</v>
      </c>
      <c r="F15" s="34" t="s">
        <v>68</v>
      </c>
      <c r="K15" s="34" t="s">
        <v>79</v>
      </c>
      <c r="M15" s="34" t="s">
        <v>80</v>
      </c>
      <c r="N15" s="34" t="s">
        <v>81</v>
      </c>
      <c r="O15" s="40">
        <v>0</v>
      </c>
      <c r="Q15" s="34">
        <v>2008</v>
      </c>
      <c r="R15" s="34" t="s">
        <v>91</v>
      </c>
      <c r="U15" s="34" t="s">
        <v>65</v>
      </c>
      <c r="V15" s="34" t="s">
        <v>96</v>
      </c>
    </row>
    <row r="16" spans="1:22" ht="16" thickBot="1">
      <c r="E16" s="34" t="s">
        <v>69</v>
      </c>
      <c r="F16" s="34" t="s">
        <v>70</v>
      </c>
      <c r="K16" s="34" t="s">
        <v>82</v>
      </c>
      <c r="M16" s="34" t="s">
        <v>83</v>
      </c>
      <c r="N16" s="34" t="s">
        <v>84</v>
      </c>
      <c r="O16" s="34" t="s">
        <v>66</v>
      </c>
      <c r="Q16" s="34">
        <v>2009</v>
      </c>
      <c r="R16" s="34" t="s">
        <v>92</v>
      </c>
      <c r="U16" s="34" t="s">
        <v>67</v>
      </c>
      <c r="V16" s="34" t="s">
        <v>97</v>
      </c>
    </row>
    <row r="17" spans="5:22" ht="23" thickBot="1">
      <c r="E17" s="35" t="s">
        <v>71</v>
      </c>
      <c r="F17" s="36" t="s">
        <v>72</v>
      </c>
      <c r="K17" s="35" t="s">
        <v>85</v>
      </c>
      <c r="M17" s="35" t="s">
        <v>86</v>
      </c>
      <c r="N17" s="35" t="s">
        <v>87</v>
      </c>
      <c r="O17" s="36" t="s">
        <v>68</v>
      </c>
      <c r="Q17" s="35" t="s">
        <v>93</v>
      </c>
      <c r="R17" s="36" t="s">
        <v>94</v>
      </c>
      <c r="U17" s="34" t="s">
        <v>69</v>
      </c>
      <c r="V17" s="34" t="s">
        <v>98</v>
      </c>
    </row>
    <row r="18" spans="5:22" ht="16" thickBot="1">
      <c r="U18" s="35" t="s">
        <v>71</v>
      </c>
      <c r="V18" s="36" t="s">
        <v>99</v>
      </c>
    </row>
  </sheetData>
  <mergeCells count="7">
    <mergeCell ref="U13:V13"/>
    <mergeCell ref="P1:S1"/>
    <mergeCell ref="P2:S2"/>
    <mergeCell ref="D1:H1"/>
    <mergeCell ref="D2:H2"/>
    <mergeCell ref="J2:N2"/>
    <mergeCell ref="J1:N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731C9-A5B2-4EBF-BBCE-4D2EE5CF0866}">
  <sheetPr codeName="Sheet4"/>
  <dimension ref="A1:B5"/>
  <sheetViews>
    <sheetView workbookViewId="0">
      <selection activeCell="B10" sqref="B10"/>
    </sheetView>
  </sheetViews>
  <sheetFormatPr baseColWidth="10" defaultColWidth="8.83203125" defaultRowHeight="15"/>
  <cols>
    <col min="1" max="1" width="20.83203125" customWidth="1"/>
    <col min="2" max="2" width="16.33203125" customWidth="1"/>
  </cols>
  <sheetData>
    <row r="1" spans="1:2">
      <c r="A1" s="3" t="s">
        <v>104</v>
      </c>
      <c r="B1" s="3" t="s">
        <v>105</v>
      </c>
    </row>
    <row r="2" spans="1:2">
      <c r="A2" s="3">
        <v>0</v>
      </c>
      <c r="B2" s="3">
        <v>0</v>
      </c>
    </row>
    <row r="3" spans="1:2">
      <c r="A3" s="3">
        <v>1</v>
      </c>
      <c r="B3" s="3">
        <v>1</v>
      </c>
    </row>
    <row r="4" spans="1:2">
      <c r="A4" s="3">
        <v>2</v>
      </c>
      <c r="B4" s="3"/>
    </row>
    <row r="5" spans="1:2">
      <c r="A5" s="3">
        <v>3</v>
      </c>
      <c r="B5" s="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Tabelas_ISV</vt:lpstr>
      <vt:lpstr>Tabelas_IUC</vt:lpstr>
      <vt:lpstr>opcoes_dropdown</vt:lpstr>
    </vt:vector>
  </TitlesOfParts>
  <Company>Daimler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Carlos C. (059)</dc:creator>
  <cp:lastModifiedBy>Microsoft Office User</cp:lastModifiedBy>
  <dcterms:created xsi:type="dcterms:W3CDTF">2024-01-25T22:52:11Z</dcterms:created>
  <dcterms:modified xsi:type="dcterms:W3CDTF">2024-02-13T15:13:44Z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4dbb1d-991d-4bbd-aad5-33bac1d8ffaf_Enabled">
    <vt:lpwstr>true</vt:lpwstr>
  </property>
  <property fmtid="{D5CDD505-2E9C-101B-9397-08002B2CF9AE}" pid="3" name="MSIP_Label_924dbb1d-991d-4bbd-aad5-33bac1d8ffaf_SetDate">
    <vt:lpwstr>2024-01-25T22:52:11Z</vt:lpwstr>
  </property>
  <property fmtid="{D5CDD505-2E9C-101B-9397-08002B2CF9AE}" pid="4" name="MSIP_Label_924dbb1d-991d-4bbd-aad5-33bac1d8ffaf_Method">
    <vt:lpwstr>Standard</vt:lpwstr>
  </property>
  <property fmtid="{D5CDD505-2E9C-101B-9397-08002B2CF9AE}" pid="5" name="MSIP_Label_924dbb1d-991d-4bbd-aad5-33bac1d8ffaf_Name">
    <vt:lpwstr>924dbb1d-991d-4bbd-aad5-33bac1d8ffaf</vt:lpwstr>
  </property>
  <property fmtid="{D5CDD505-2E9C-101B-9397-08002B2CF9AE}" pid="6" name="MSIP_Label_924dbb1d-991d-4bbd-aad5-33bac1d8ffaf_SiteId">
    <vt:lpwstr>9652d7c2-1ccf-4940-8151-4a92bd474ed0</vt:lpwstr>
  </property>
  <property fmtid="{D5CDD505-2E9C-101B-9397-08002B2CF9AE}" pid="7" name="MSIP_Label_924dbb1d-991d-4bbd-aad5-33bac1d8ffaf_ActionId">
    <vt:lpwstr>38776db8-aaee-4371-a7e7-22c19fe18500</vt:lpwstr>
  </property>
  <property fmtid="{D5CDD505-2E9C-101B-9397-08002B2CF9AE}" pid="8" name="MSIP_Label_924dbb1d-991d-4bbd-aad5-33bac1d8ffaf_ContentBits">
    <vt:lpwstr>0</vt:lpwstr>
  </property>
</Properties>
</file>